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EA92418-74EB-4D84-A2C9-68721BAB29B2}" xr6:coauthVersionLast="47" xr6:coauthVersionMax="47" xr10:uidLastSave="{00000000-0000-0000-0000-000000000000}"/>
  <bookViews>
    <workbookView xWindow="-110" yWindow="-110" windowWidth="19420" windowHeight="10300" xr2:uid="{CA8530B2-5C3A-4A10-A325-7BDEC4BEF746}"/>
  </bookViews>
  <sheets>
    <sheet name="Hoja4" sheetId="4" r:id="rId1"/>
    <sheet name="Hoja1" sheetId="1" r:id="rId2"/>
  </sheets>
  <definedNames>
    <definedName name="SegmentaciónDeDatos_RESPONSABLE">#N/A</definedName>
  </definedNames>
  <calcPr calcId="191029"/>
  <pivotCaches>
    <pivotCache cacheId="1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F2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A8" i="1"/>
  <c r="E8" i="1"/>
  <c r="C8" i="1"/>
  <c r="F8" i="1" s="1"/>
</calcChain>
</file>

<file path=xl/sharedStrings.xml><?xml version="1.0" encoding="utf-8"?>
<sst xmlns="http://schemas.openxmlformats.org/spreadsheetml/2006/main" count="40" uniqueCount="29">
  <si>
    <t>ID_Dispositivo</t>
  </si>
  <si>
    <t>Categoria</t>
  </si>
  <si>
    <t>Uso_CPU (%)</t>
  </si>
  <si>
    <t>Estado</t>
  </si>
  <si>
    <t>Alertas_Mes</t>
  </si>
  <si>
    <t>DISK-001</t>
  </si>
  <si>
    <t>Almacenamiento</t>
  </si>
  <si>
    <t>Operativo</t>
  </si>
  <si>
    <t>SRV-002</t>
  </si>
  <si>
    <t>Servidor Web</t>
  </si>
  <si>
    <t>Crítico</t>
  </si>
  <si>
    <t>SRV-003</t>
  </si>
  <si>
    <t>Base de Datos</t>
  </si>
  <si>
    <t>NET-004</t>
  </si>
  <si>
    <t>Enrutador</t>
  </si>
  <si>
    <t>SRV-005</t>
  </si>
  <si>
    <t>Advertencia</t>
  </si>
  <si>
    <t>DISK-006</t>
  </si>
  <si>
    <t>DIAGNOSTICO</t>
  </si>
  <si>
    <t>Ingeniero_Asignado</t>
  </si>
  <si>
    <t>Carlos Mendoza</t>
  </si>
  <si>
    <t>Gaby Silva</t>
  </si>
  <si>
    <t>Alejandro Soto</t>
  </si>
  <si>
    <t>Elena Rivas</t>
  </si>
  <si>
    <t>RESPONSABLE</t>
  </si>
  <si>
    <t>Etiquetas de fila</t>
  </si>
  <si>
    <t>Total general</t>
  </si>
  <si>
    <t>Suma de Alertas_Mes</t>
  </si>
  <si>
    <t>Promedio de Uso_CPU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</si>
</sst>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NumberFormat="1"/>
    <xf numFmtId="0" fontId="0" fillId="0" borderId="0" xfId="0" applyBorder="1"/>
    <xf numFmtId="0" fontId="2" fillId="0" borderId="2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 1 excel ricardo.xlsx]Hoja4!TablaDinámica3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Hoja4!$B$3</c:f>
              <c:strCache>
                <c:ptCount val="1"/>
                <c:pt idx="0">
                  <c:v>Suma de Alertas_Mes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Hoja4!$A$4:$A$7</c:f>
              <c:multiLvlStrCache>
                <c:ptCount val="2"/>
                <c:lvl>
                  <c:pt idx="0">
                    <c:v>65</c:v>
                  </c:pt>
                  <c:pt idx="1">
                    <c:v>88</c:v>
                  </c:pt>
                </c:lvl>
                <c:lvl>
                  <c:pt idx="0">
                    <c:v>Gaby Silva</c:v>
                  </c:pt>
                </c:lvl>
              </c:multiLvlStrCache>
            </c:multiLvlStrRef>
          </c:cat>
          <c:val>
            <c:numRef>
              <c:f>Hoja4!$B$4:$B$7</c:f>
              <c:numCache>
                <c:formatCode>0%</c:formatCode>
                <c:ptCount val="2"/>
                <c:pt idx="0">
                  <c:v>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4B72-A13B-2D6A99B4802F}"/>
            </c:ext>
          </c:extLst>
        </c:ser>
        <c:ser>
          <c:idx val="1"/>
          <c:order val="1"/>
          <c:tx>
            <c:strRef>
              <c:f>Hoja4!$C$3</c:f>
              <c:strCache>
                <c:ptCount val="1"/>
                <c:pt idx="0">
                  <c:v>Promedio de Uso_CPU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Hoja4!$A$4:$A$7</c:f>
              <c:multiLvlStrCache>
                <c:ptCount val="2"/>
                <c:lvl>
                  <c:pt idx="0">
                    <c:v>65</c:v>
                  </c:pt>
                  <c:pt idx="1">
                    <c:v>88</c:v>
                  </c:pt>
                </c:lvl>
                <c:lvl>
                  <c:pt idx="0">
                    <c:v>Gaby Silva</c:v>
                  </c:pt>
                </c:lvl>
              </c:multiLvlStrCache>
            </c:multiLvlStrRef>
          </c:cat>
          <c:val>
            <c:numRef>
              <c:f>Hoja4!$C$4:$C$7</c:f>
              <c:numCache>
                <c:formatCode>0%</c:formatCode>
                <c:ptCount val="2"/>
                <c:pt idx="0">
                  <c:v>65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1-4B72-A13B-2D6A99B4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718576"/>
        <c:axId val="1355600400"/>
      </c:barChart>
      <c:catAx>
        <c:axId val="136071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355600400"/>
        <c:crosses val="autoZero"/>
        <c:auto val="1"/>
        <c:lblAlgn val="ctr"/>
        <c:lblOffset val="100"/>
        <c:noMultiLvlLbl val="0"/>
      </c:catAx>
      <c:valAx>
        <c:axId val="13556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36071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114300</xdr:rowOff>
    </xdr:from>
    <xdr:to>
      <xdr:col>5</xdr:col>
      <xdr:colOff>168275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43DD23-9DB0-A7F2-60BC-2981692F4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292100</xdr:colOff>
      <xdr:row>5</xdr:row>
      <xdr:rowOff>120650</xdr:rowOff>
    </xdr:from>
    <xdr:to>
      <xdr:col>7</xdr:col>
      <xdr:colOff>596901</xdr:colOff>
      <xdr:row>19</xdr:row>
      <xdr:rowOff>161922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SPONSABLE">
              <a:extLst>
                <a:ext uri="{FF2B5EF4-FFF2-40B4-BE49-F238E27FC236}">
                  <a16:creationId xmlns:a16="http://schemas.microsoft.com/office/drawing/2014/main" id="{35C5771F-04B6-390B-A4B8-59FC546088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4384" y="1022193"/>
              <a:ext cx="1825665" cy="2565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4.05427025463" createdVersion="8" refreshedVersion="8" minRefreshableVersion="3" recordCount="17" xr:uid="{F4F00F4B-92B0-4D97-8041-C2DF96BBBAA1}">
  <cacheSource type="worksheet">
    <worksheetSource name="Tabla4"/>
  </cacheSource>
  <cacheFields count="7">
    <cacheField name="ID_Dispositivo" numFmtId="0">
      <sharedItems containsBlank="1" containsMixedTypes="1" containsNumber="1" containsInteger="1" minValue="6" maxValue="6"/>
    </cacheField>
    <cacheField name="Categoria" numFmtId="0">
      <sharedItems containsBlank="1"/>
    </cacheField>
    <cacheField name="Uso_CPU (%)" numFmtId="0">
      <sharedItems containsString="0" containsBlank="1" containsNumber="1" minValue="12" maxValue="92" count="8">
        <n v="45"/>
        <n v="88"/>
        <n v="92"/>
        <n v="30"/>
        <n v="65"/>
        <n v="12"/>
        <n v="55.333333333333336"/>
        <m/>
      </sharedItems>
    </cacheField>
    <cacheField name="Estado" numFmtId="0">
      <sharedItems containsBlank="1"/>
    </cacheField>
    <cacheField name="Alertas_Mes" numFmtId="0">
      <sharedItems containsString="0" containsBlank="1" containsNumber="1" containsInteger="1" minValue="0" maxValue="47"/>
    </cacheField>
    <cacheField name="DIAGNOSTICO" numFmtId="0">
      <sharedItems/>
    </cacheField>
    <cacheField name="RESPONSABLE" numFmtId="0">
      <sharedItems containsMixedTypes="1" containsNumber="1" containsInteger="1" minValue="0" maxValue="0" count="5">
        <s v="Carlos Mendoza"/>
        <s v="Gaby Silva"/>
        <s v="Alejandro Soto"/>
        <s v="Elena Rivas"/>
        <n v="0"/>
      </sharedItems>
    </cacheField>
  </cacheFields>
  <extLst>
    <ext xmlns:x14="http://schemas.microsoft.com/office/spreadsheetml/2009/9/main" uri="{725AE2AE-9491-48be-B2B4-4EB974FC3084}">
      <x14:pivotCacheDefinition pivotCacheId="10673274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DISK-001"/>
    <s v="Almacenamiento"/>
    <x v="0"/>
    <s v="Operativo"/>
    <n v="2"/>
    <s v="NORMAL"/>
    <x v="0"/>
  </r>
  <r>
    <s v="SRV-002"/>
    <s v="Servidor Web"/>
    <x v="1"/>
    <s v="Crítico"/>
    <n v="14"/>
    <s v="REVISION URGENTE"/>
    <x v="1"/>
  </r>
  <r>
    <s v="SRV-003"/>
    <s v="Base de Datos"/>
    <x v="2"/>
    <s v="Crítico"/>
    <n v="25"/>
    <s v="REVISION URGENTE"/>
    <x v="2"/>
  </r>
  <r>
    <s v="NET-004"/>
    <s v="Enrutador"/>
    <x v="3"/>
    <s v="Operativo"/>
    <n v="0"/>
    <s v="NORMAL"/>
    <x v="3"/>
  </r>
  <r>
    <s v="SRV-005"/>
    <s v="Servidor Web"/>
    <x v="4"/>
    <s v="Advertencia"/>
    <n v="5"/>
    <s v="NORMAL"/>
    <x v="1"/>
  </r>
  <r>
    <s v="DISK-006"/>
    <s v="Almacenamiento"/>
    <x v="5"/>
    <s v="Operativo"/>
    <n v="1"/>
    <s v="NORMAL"/>
    <x v="0"/>
  </r>
  <r>
    <n v="6"/>
    <m/>
    <x v="6"/>
    <m/>
    <n v="47"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  <r>
    <m/>
    <m/>
    <x v="7"/>
    <m/>
    <m/>
    <s v="NORMAL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863AF-EECD-427A-8041-D4ED889C045F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7">
    <pivotField showAll="0"/>
    <pivotField showAll="0"/>
    <pivotField axis="axisRow" dataField="1" showAll="0">
      <items count="9">
        <item x="5"/>
        <item x="3"/>
        <item x="0"/>
        <item x="6"/>
        <item x="4"/>
        <item x="1"/>
        <item x="2"/>
        <item x="7"/>
        <item t="default"/>
      </items>
    </pivotField>
    <pivotField showAll="0"/>
    <pivotField dataField="1" showAll="0"/>
    <pivotField showAll="0"/>
    <pivotField axis="axisRow" showAll="0">
      <items count="6">
        <item h="1" sd="0" x="4"/>
        <item h="1" x="2"/>
        <item h="1" sd="0" x="0"/>
        <item h="1" sd="0" x="3"/>
        <item x="1"/>
        <item t="default" sd="0"/>
      </items>
    </pivotField>
  </pivotFields>
  <rowFields count="2">
    <field x="6"/>
    <field x="2"/>
  </rowFields>
  <rowItems count="4">
    <i>
      <x v="4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lertas_Mes" fld="4" baseField="0" baseItem="0" numFmtId="9"/>
    <dataField name="Promedio de Uso_CPU (%)" fld="2" subtotal="average" baseField="6" baseItem="2" numFmtId="9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1"/>
          </reference>
          <reference field="2" count="1" selected="0">
            <x v="4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E2C7CDE0-FF37-4736-BA92-11893855F9BA}" sourceName="RESPONSABLE">
  <pivotTables>
    <pivotTable tabId="4" name="TablaDinámica3"/>
  </pivotTables>
  <data>
    <tabular pivotCacheId="1067327484">
      <items count="5">
        <i x="4"/>
        <i x="2"/>
        <i x="0"/>
        <i x="3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BF15EF39-CAF5-4034-A53A-338B0690E33C}" cache="SegmentaciónDeDatos_RESPONSABLE" caption="RESPONSABL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18B1C7-3856-4EE9-9766-7628221B909C}" name="Tabla4" displayName="Tabla4" ref="A1:G18" totalsRowShown="0">
  <autoFilter ref="A1:G18" xr:uid="{6418B1C7-3856-4EE9-9766-7628221B909C}"/>
  <tableColumns count="7">
    <tableColumn id="1" xr3:uid="{11D5B1A3-B1C3-40B7-BDA0-AA91DA8DDE13}" name="ID_Dispositivo"/>
    <tableColumn id="2" xr3:uid="{E98FAE93-C04A-4113-BEEB-39EC48F77C3D}" name="Categoria"/>
    <tableColumn id="3" xr3:uid="{9FE1FC30-211B-4055-AF21-046FCE216559}" name="Uso_CPU (%)"/>
    <tableColumn id="4" xr3:uid="{A737BBEB-D179-4139-81C0-897794BDBF56}" name="Estado"/>
    <tableColumn id="5" xr3:uid="{52C2566D-BCD1-4E30-AD80-566339695BBE}" name="Alertas_Mes"/>
    <tableColumn id="6" xr3:uid="{1158578E-4BDB-463C-A927-4E7D4A74D19B}" name="DIAGNOSTICO" dataDxfId="2">
      <calculatedColumnFormula>IF(C2&gt;=80, "REVISION URGENTE", "NORMAL" )</calculatedColumnFormula>
    </tableColumn>
    <tableColumn id="7" xr3:uid="{AAA9D94B-1731-419B-B5D9-5CE6A0E93E6E}" name="RESPONSABLE" dataDxfId="0">
      <calculatedColumnFormula>_xlfn.XLOOKUP(B2, INGENIEROS[Categoria],INGENIEROS[Ingeniero_Asignado] 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3B6D93-DDE6-41FD-834D-776FAE8761F5}" name="INGENIEROS" displayName="INGENIEROS" ref="A20:B28" totalsRowShown="0">
  <autoFilter ref="A20:B28" xr:uid="{333B6D93-DDE6-41FD-834D-776FAE8761F5}"/>
  <tableColumns count="2">
    <tableColumn id="1" xr3:uid="{2D36F117-1E62-43C8-8EE1-4C4C50E159F2}" name="Categoria"/>
    <tableColumn id="2" xr3:uid="{64BB365F-8B07-47BF-AABA-14EA09BB467A}" name="Ingeniero_Asign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D991-6718-4C47-B6D7-98CD93D90C65}">
  <dimension ref="A3:C7"/>
  <sheetViews>
    <sheetView showGridLines="0" tabSelected="1" zoomScale="81" zoomScaleNormal="81" workbookViewId="0">
      <selection activeCell="B4" sqref="B4"/>
    </sheetView>
  </sheetViews>
  <sheetFormatPr baseColWidth="10" defaultRowHeight="14.5" x14ac:dyDescent="0.35"/>
  <cols>
    <col min="1" max="1" width="17.26953125" bestFit="1" customWidth="1"/>
    <col min="2" max="2" width="18.81640625" bestFit="1" customWidth="1"/>
    <col min="3" max="3" width="23" bestFit="1" customWidth="1"/>
  </cols>
  <sheetData>
    <row r="3" spans="1:3" x14ac:dyDescent="0.35">
      <c r="A3" s="6" t="s">
        <v>25</v>
      </c>
      <c r="B3" t="s">
        <v>27</v>
      </c>
      <c r="C3" t="s">
        <v>28</v>
      </c>
    </row>
    <row r="4" spans="1:3" x14ac:dyDescent="0.35">
      <c r="A4" s="7" t="s">
        <v>21</v>
      </c>
      <c r="B4" s="9">
        <v>19</v>
      </c>
      <c r="C4" s="9">
        <v>76.5</v>
      </c>
    </row>
    <row r="5" spans="1:3" x14ac:dyDescent="0.35">
      <c r="A5" s="8">
        <v>65</v>
      </c>
      <c r="B5" s="9">
        <v>5</v>
      </c>
      <c r="C5" s="9">
        <v>65</v>
      </c>
    </row>
    <row r="6" spans="1:3" x14ac:dyDescent="0.35">
      <c r="A6" s="8">
        <v>88</v>
      </c>
      <c r="B6" s="9">
        <v>14</v>
      </c>
      <c r="C6" s="9">
        <v>88</v>
      </c>
    </row>
    <row r="7" spans="1:3" x14ac:dyDescent="0.35">
      <c r="A7" s="7" t="s">
        <v>26</v>
      </c>
      <c r="B7" s="9">
        <v>19</v>
      </c>
      <c r="C7" s="9">
        <v>76.5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68A2-299A-40B7-9D95-30807813A93D}">
  <dimension ref="A1:G28"/>
  <sheetViews>
    <sheetView zoomScale="77" zoomScaleNormal="77" workbookViewId="0">
      <selection activeCell="B6" sqref="B6"/>
    </sheetView>
  </sheetViews>
  <sheetFormatPr baseColWidth="10" defaultRowHeight="14.5" x14ac:dyDescent="0.35"/>
  <cols>
    <col min="1" max="1" width="14.6328125" customWidth="1"/>
    <col min="2" max="2" width="15.6328125" customWidth="1"/>
    <col min="3" max="3" width="16.7265625" customWidth="1"/>
    <col min="4" max="4" width="13.6328125" customWidth="1"/>
    <col min="6" max="6" width="20.7265625" customWidth="1"/>
    <col min="7" max="7" width="24.36328125" customWidth="1"/>
    <col min="9" max="9" width="29.6328125" customWidth="1"/>
    <col min="10" max="10" width="28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24</v>
      </c>
    </row>
    <row r="2" spans="1:7" x14ac:dyDescent="0.35">
      <c r="A2" t="s">
        <v>5</v>
      </c>
      <c r="B2" t="s">
        <v>6</v>
      </c>
      <c r="C2">
        <v>45</v>
      </c>
      <c r="D2" t="s">
        <v>7</v>
      </c>
      <c r="E2">
        <v>2</v>
      </c>
      <c r="F2" t="str">
        <f t="shared" ref="F2:F19" si="0">IF(C2&gt;=80, "REVISION URGENTE", "NORMAL" )</f>
        <v>NORMAL</v>
      </c>
      <c r="G2" t="str">
        <f>_xlfn.XLOOKUP(B2, INGENIEROS[Categoria],INGENIEROS[Ingeniero_Asignado] )</f>
        <v>Carlos Mendoza</v>
      </c>
    </row>
    <row r="3" spans="1:7" x14ac:dyDescent="0.35">
      <c r="A3" t="s">
        <v>8</v>
      </c>
      <c r="B3" t="s">
        <v>9</v>
      </c>
      <c r="C3">
        <v>88</v>
      </c>
      <c r="D3" t="s">
        <v>10</v>
      </c>
      <c r="E3">
        <v>14</v>
      </c>
      <c r="F3" t="str">
        <f t="shared" si="0"/>
        <v>REVISION URGENTE</v>
      </c>
      <c r="G3" t="str">
        <f>_xlfn.XLOOKUP(B3, INGENIEROS[Categoria],INGENIEROS[Ingeniero_Asignado] )</f>
        <v>Gaby Silva</v>
      </c>
    </row>
    <row r="4" spans="1:7" x14ac:dyDescent="0.35">
      <c r="A4" t="s">
        <v>11</v>
      </c>
      <c r="B4" t="s">
        <v>12</v>
      </c>
      <c r="C4">
        <v>92</v>
      </c>
      <c r="D4" t="s">
        <v>10</v>
      </c>
      <c r="E4">
        <v>25</v>
      </c>
      <c r="F4" t="str">
        <f t="shared" si="0"/>
        <v>REVISION URGENTE</v>
      </c>
      <c r="G4" t="str">
        <f>_xlfn.XLOOKUP(B4, INGENIEROS[Categoria],INGENIEROS[Ingeniero_Asignado] )</f>
        <v>Alejandro Soto</v>
      </c>
    </row>
    <row r="5" spans="1:7" x14ac:dyDescent="0.35">
      <c r="A5" t="s">
        <v>13</v>
      </c>
      <c r="B5" t="s">
        <v>14</v>
      </c>
      <c r="C5">
        <v>30</v>
      </c>
      <c r="D5" t="s">
        <v>7</v>
      </c>
      <c r="E5">
        <v>0</v>
      </c>
      <c r="F5" t="str">
        <f t="shared" si="0"/>
        <v>NORMAL</v>
      </c>
      <c r="G5" t="str">
        <f>_xlfn.XLOOKUP(B5, INGENIEROS[Categoria],INGENIEROS[Ingeniero_Asignado] )</f>
        <v>Elena Rivas</v>
      </c>
    </row>
    <row r="6" spans="1:7" x14ac:dyDescent="0.35">
      <c r="A6" t="s">
        <v>15</v>
      </c>
      <c r="B6" t="s">
        <v>9</v>
      </c>
      <c r="C6">
        <v>65</v>
      </c>
      <c r="D6" t="s">
        <v>16</v>
      </c>
      <c r="E6">
        <v>5</v>
      </c>
      <c r="F6" t="str">
        <f t="shared" si="0"/>
        <v>NORMAL</v>
      </c>
      <c r="G6" t="str">
        <f>_xlfn.XLOOKUP(B6, INGENIEROS[Categoria],INGENIEROS[Ingeniero_Asignado] )</f>
        <v>Gaby Silva</v>
      </c>
    </row>
    <row r="7" spans="1:7" x14ac:dyDescent="0.35">
      <c r="A7" t="s">
        <v>17</v>
      </c>
      <c r="B7" t="s">
        <v>6</v>
      </c>
      <c r="C7">
        <v>12</v>
      </c>
      <c r="D7" t="s">
        <v>7</v>
      </c>
      <c r="E7">
        <v>1</v>
      </c>
      <c r="F7" t="str">
        <f t="shared" si="0"/>
        <v>NORMAL</v>
      </c>
      <c r="G7" t="str">
        <f>_xlfn.XLOOKUP(B7, INGENIEROS[Categoria],INGENIEROS[Ingeniero_Asignado] )</f>
        <v>Carlos Mendoza</v>
      </c>
    </row>
    <row r="8" spans="1:7" x14ac:dyDescent="0.35">
      <c r="A8">
        <f>COUNTA(A2:A7)</f>
        <v>6</v>
      </c>
      <c r="C8">
        <f>AVERAGE(C2:C7)</f>
        <v>55.333333333333336</v>
      </c>
      <c r="E8">
        <f>SUM(E2:E7)</f>
        <v>47</v>
      </c>
      <c r="F8" t="str">
        <f t="shared" si="0"/>
        <v>NORMAL</v>
      </c>
      <c r="G8">
        <f>_xlfn.XLOOKUP(B8, INGENIEROS[Categoria],INGENIEROS[Ingeniero_Asignado] )</f>
        <v>0</v>
      </c>
    </row>
    <row r="9" spans="1:7" x14ac:dyDescent="0.35">
      <c r="F9" s="3" t="str">
        <f t="shared" si="0"/>
        <v>NORMAL</v>
      </c>
      <c r="G9" s="3">
        <f>_xlfn.XLOOKUP(B9, INGENIEROS[Categoria],INGENIEROS[Ingeniero_Asignado] )</f>
        <v>0</v>
      </c>
    </row>
    <row r="10" spans="1:7" x14ac:dyDescent="0.35">
      <c r="F10" s="3" t="str">
        <f t="shared" si="0"/>
        <v>NORMAL</v>
      </c>
      <c r="G10" s="3">
        <f>_xlfn.XLOOKUP(B10, INGENIEROS[Categoria],INGENIEROS[Ingeniero_Asignado] )</f>
        <v>0</v>
      </c>
    </row>
    <row r="11" spans="1:7" x14ac:dyDescent="0.35">
      <c r="F11" s="3" t="str">
        <f t="shared" si="0"/>
        <v>NORMAL</v>
      </c>
      <c r="G11" s="3">
        <f>_xlfn.XLOOKUP(B11, INGENIEROS[Categoria],INGENIEROS[Ingeniero_Asignado] )</f>
        <v>0</v>
      </c>
    </row>
    <row r="12" spans="1:7" x14ac:dyDescent="0.35">
      <c r="F12" s="3" t="str">
        <f t="shared" si="0"/>
        <v>NORMAL</v>
      </c>
      <c r="G12" s="3">
        <f>_xlfn.XLOOKUP(B12, INGENIEROS[Categoria],INGENIEROS[Ingeniero_Asignado] )</f>
        <v>0</v>
      </c>
    </row>
    <row r="13" spans="1:7" x14ac:dyDescent="0.35">
      <c r="F13" s="3" t="str">
        <f t="shared" si="0"/>
        <v>NORMAL</v>
      </c>
      <c r="G13" s="3">
        <f>_xlfn.XLOOKUP(B13, INGENIEROS[Categoria],INGENIEROS[Ingeniero_Asignado] )</f>
        <v>0</v>
      </c>
    </row>
    <row r="14" spans="1:7" x14ac:dyDescent="0.35">
      <c r="F14" s="3" t="str">
        <f t="shared" si="0"/>
        <v>NORMAL</v>
      </c>
      <c r="G14" s="3">
        <f>_xlfn.XLOOKUP(B14, INGENIEROS[Categoria],INGENIEROS[Ingeniero_Asignado] )</f>
        <v>0</v>
      </c>
    </row>
    <row r="15" spans="1:7" x14ac:dyDescent="0.35">
      <c r="F15" s="3" t="str">
        <f t="shared" si="0"/>
        <v>NORMAL</v>
      </c>
      <c r="G15" s="3">
        <f>_xlfn.XLOOKUP(B15, INGENIEROS[Categoria],INGENIEROS[Ingeniero_Asignado] )</f>
        <v>0</v>
      </c>
    </row>
    <row r="16" spans="1:7" x14ac:dyDescent="0.35">
      <c r="F16" s="3" t="str">
        <f t="shared" si="0"/>
        <v>NORMAL</v>
      </c>
      <c r="G16" s="3">
        <f>_xlfn.XLOOKUP(B16, INGENIEROS[Categoria],INGENIEROS[Ingeniero_Asignado] )</f>
        <v>0</v>
      </c>
    </row>
    <row r="17" spans="1:7" x14ac:dyDescent="0.35">
      <c r="F17" s="3" t="str">
        <f t="shared" si="0"/>
        <v>NORMAL</v>
      </c>
      <c r="G17" s="3">
        <f>_xlfn.XLOOKUP(B17, INGENIEROS[Categoria],INGENIEROS[Ingeniero_Asignado] )</f>
        <v>0</v>
      </c>
    </row>
    <row r="18" spans="1:7" x14ac:dyDescent="0.35">
      <c r="F18" s="3" t="str">
        <f t="shared" si="0"/>
        <v>NORMAL</v>
      </c>
      <c r="G18" s="3">
        <f>_xlfn.XLOOKUP(B18, INGENIEROS[Categoria],INGENIEROS[Ingeniero_Asignado] )</f>
        <v>0</v>
      </c>
    </row>
    <row r="19" spans="1:7" ht="15" thickBot="1" x14ac:dyDescent="0.4">
      <c r="F19" s="3"/>
      <c r="G19" s="3"/>
    </row>
    <row r="20" spans="1:7" ht="28.5" thickBot="1" x14ac:dyDescent="0.4">
      <c r="A20" s="1" t="s">
        <v>1</v>
      </c>
      <c r="B20" s="1" t="s">
        <v>19</v>
      </c>
    </row>
    <row r="21" spans="1:7" ht="28.5" thickBot="1" x14ac:dyDescent="0.4">
      <c r="A21" s="2" t="s">
        <v>6</v>
      </c>
      <c r="B21" s="2" t="s">
        <v>20</v>
      </c>
    </row>
    <row r="22" spans="1:7" ht="15" thickBot="1" x14ac:dyDescent="0.4">
      <c r="A22" s="2" t="s">
        <v>9</v>
      </c>
      <c r="B22" s="2" t="s">
        <v>21</v>
      </c>
    </row>
    <row r="23" spans="1:7" ht="28.5" thickBot="1" x14ac:dyDescent="0.4">
      <c r="A23" s="2" t="s">
        <v>12</v>
      </c>
      <c r="B23" s="2" t="s">
        <v>22</v>
      </c>
    </row>
    <row r="24" spans="1:7" ht="15" thickBot="1" x14ac:dyDescent="0.4">
      <c r="A24" s="2" t="s">
        <v>14</v>
      </c>
      <c r="B24" s="2" t="s">
        <v>23</v>
      </c>
    </row>
    <row r="25" spans="1:7" ht="15" thickBot="1" x14ac:dyDescent="0.4">
      <c r="B25" s="2"/>
    </row>
    <row r="26" spans="1:7" ht="15" thickBot="1" x14ac:dyDescent="0.4">
      <c r="A26" s="4"/>
      <c r="B26" s="2"/>
    </row>
    <row r="27" spans="1:7" ht="15" thickBot="1" x14ac:dyDescent="0.4">
      <c r="B27" s="2"/>
    </row>
    <row r="28" spans="1:7" x14ac:dyDescent="0.35">
      <c r="A28" s="4"/>
      <c r="B28" s="5"/>
    </row>
  </sheetData>
  <phoneticPr fontId="1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2026-06-28T05:08:49Z</dcterms:created>
  <dcterms:modified xsi:type="dcterms:W3CDTF">2026-07-01T06:01:33Z</dcterms:modified>
</cp:coreProperties>
</file>